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97ba7e9f9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版结果" sheetId="1" r:id="R106247ad52ae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.000000"/>
    <x:numFmt numFmtId="203" formatCode="+0.000000;-0.000000;0.000000"/>
  </x:numFmts>
  <x:fonts count="7">
    <x:font>
      <x:sz val="11"/>
      <x:name val="Carlito"/>
    </x:font>
    <x:font>
      <x:sz val="10"/>
      <x:color rgb="FF18283B"/>
      <x:name val="Arial"/>
    </x:font>
    <x:font>
      <x:b/>
      <x:sz val="12"/>
      <x:color rgb="FF233A5B"/>
      <x:name val="Arial"/>
    </x:font>
    <x:font>
      <x:b/>
      <x:sz val="16"/>
      <x:color rgb="FF233A5B"/>
      <x:name val="Arial"/>
    </x:font>
    <x:font>
      <x:sz val="10"/>
      <x:color rgb="FF52647B"/>
      <x:name val="Arial"/>
    </x:font>
    <x:font>
      <x:b/>
      <x:sz val="10"/>
      <x:color rgb="FFFFFFFF"/>
      <x:name val="Arial"/>
    </x:font>
    <x:font>
      <x:sz val="10"/>
      <x:color rgb="FF53667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A5B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6A7BE"/>
      </x:bottom>
      <x:diagonal/>
    </x:border>
    <x:border>
      <x:left/>
      <x:right/>
      <x:top style="thin">
        <x:color rgb="FF879CB6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wrapText="0"/>
    </x:xf>
    <x:xf numFmtId="202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15B3B"/>
      </x:font>
      <x:fill>
        <x:patternFill patternType="solid">
          <x:bgColor rgb="FFE4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473223b8d470b" /><Relationship Type="http://schemas.openxmlformats.org/officeDocument/2006/relationships/theme" Target="/xl/theme/theme1.xml" Id="Rcf710179c51341ce" /><Relationship Type="http://schemas.openxmlformats.org/officeDocument/2006/relationships/sharedStrings" Target="/xl/sharedStrings.xml" Id="Rd2888c93720c4ec7" /><Relationship Type="http://schemas.openxmlformats.org/officeDocument/2006/relationships/worksheet" Target="/xl/worksheets/sheet1.xml" Id="R106247ad52ae408f" /></Relationships>
</file>

<file path=xl/tables/table1.xml><?xml version="1.0" encoding="utf-8"?>
<x:table xmlns:x="http://schemas.openxmlformats.org/spreadsheetml/2006/main" id="1" name="SR2V3EpochResults" displayName="SR2V3EpochResults" ref="A8:Q35" headerRowCount="1" totalsRowCount="0" totalsRowShown="0">
  <x:autoFilter ref="A8:Q35"/>
  <x:tableColumns count="17">
    <x:tableColumn id="1" name="实验组"/>
    <x:tableColumn id="2" name="Epoch"/>
    <x:tableColumn id="3" name="Batch size"/>
    <x:tableColumn id="4" name="学习率"/>
    <x:tableColumn id="5" name="Label smoothing"/>
    <x:tableColumn id="6" name="Train loss"/>
    <x:tableColumn id="7" name="Validation loss"/>
    <x:tableColumn id="8" name="Val 相对基准差值"/>
    <x:tableColumn id="9" name="相对基础 config 差异（该 epoch）"/>
    <x:tableColumn id="10" name="最优标记"/>
    <x:tableColumn id="11" name="日志目标 epochs"/>
    <x:tableColumn id="12" name="原配置名"/>
    <x:tableColumn id="13" name="执行方式"/>
    <x:tableColumn id="14" name="指标来源"/>
    <x:tableColumn id="15" name="缓存复评来源"/>
    <x:tableColumn id="16" name="该 epoch 已保存缓存"/>
    <x:tableColumn id="17" name="配置元数据来源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7268b8cf9443a2" /></Relationships>
</file>

<file path=xl/worksheets/sheet1.xml><?xml version="1.0" encoding="utf-8"?>
<x:worksheet xmlns:x="http://schemas.openxmlformats.org/spreadsheetml/2006/main">
  <x:sheetPr>
    <x:tabColor rgb="FF233A5B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.25" hidden="0" customWidth="1"/>
    <x:col min="2" max="2" width="8.25" hidden="0" customWidth="1"/>
    <x:col min="3" max="3" width="11.380000114440918" hidden="0" customWidth="1"/>
    <x:col min="4" max="4" width="11" hidden="0" customWidth="1"/>
    <x:col min="5" max="5" width="13.25" hidden="0" customWidth="1"/>
    <x:col min="6" max="6" width="12.75" hidden="0" customWidth="1"/>
    <x:col min="7" max="7" width="13.75" hidden="0" customWidth="1"/>
    <x:col min="8" max="8" width="15" hidden="0" customWidth="1"/>
    <x:col min="9" max="9" width="46.25" hidden="0" customWidth="1"/>
    <x:col min="10" max="10" width="12.25" hidden="0" customWidth="1"/>
    <x:col min="11" max="11" width="14" hidden="0" customWidth="1"/>
    <x:col min="12" max="12" width="12.5" hidden="0" customWidth="1"/>
    <x:col min="13" max="13" width="11.5" hidden="0" customWidth="1"/>
    <x:col min="14" max="14" width="48.75" hidden="0" customWidth="1"/>
    <x:col min="15" max="15" width="48.75" hidden="0" customWidth="1"/>
    <x:col min="16" max="16" width="55" hidden="0" customWidth="1"/>
    <x:col min="17" max="17" width="55" hidden="0" customWidth="1"/>
  </x:cols>
  <x:sheetData>
    <x:row r="2" ht="29" customHeight="1">
      <x:c r="A2" s="4" t="str">
        <x:v>SR2 v3</x:v>
      </x:c>
      <x:c r="B2" s="5"/>
      <x:c r="C2" s="5"/>
      <x:c r="D2" s="5"/>
      <x:c r="E2" s="5"/>
      <x:c r="F2" s="5"/>
      <x:c r="G2" s="5"/>
      <x:c r="H2" s="5"/>
      <x:c r="I2" s="6" t="str">
        <x:v>分类头逐 epoch 结果</x:v>
      </x:c>
      <x:c r="J2" s="5"/>
      <x:c r="K2" s="1"/>
      <x:c r="L2" s="2" t="str">
        <x:v>归档说明</x:v>
      </x:c>
      <x:c r="M2" s="1"/>
      <x:c r="N2" s="1"/>
      <x:c r="O2" s="1"/>
      <x:c r="P2" s="1"/>
      <x:c r="Q2" s="1"/>
    </x:row>
    <x:row r="3" ht="22" customHeight="1">
      <x:c r="A3" s="15" t="str">
        <x:v>Warmup</x:v>
      </x:c>
      <x:c r="B3" s="10"/>
      <x:c r="C3" s="10"/>
      <x:c r="D3" s="10"/>
      <x:c r="E3" s="10"/>
      <x:c r="F3" s="10"/>
      <x:c r="G3" s="10"/>
      <x:c r="H3" s="10"/>
      <x:c r="I3" s="10" t="str">
        <x:v>基础配置：base-config.yaml，loss 越低越好。</x:v>
      </x:c>
      <x:c r="J3" s="10"/>
      <x:c r="K3" s="10"/>
      <x:c r="L3" s="10" t="str">
        <x:v>来源口径</x:v>
      </x:c>
      <x:c r="M3" s="10"/>
      <x:c r="N3" s="10" t="str">
        <x:v>4 份新版日志，4 次缓存复评已合并。</x:v>
      </x:c>
      <x:c r="O3" s="10"/>
      <x:c r="P3" s="10"/>
      <x:c r="Q3" s="10"/>
    </x:row>
    <x:row r="4" ht="22" customHeight="1">
      <x:c r="A4" s="15" t="str">
        <x:v>Batch</x:v>
      </x:c>
      <x:c r="B4" s="10" t="n">
        <x:v>1024</x:v>
      </x:c>
      <x:c r="C4" s="10" t="str">
        <x:v>学习率</x:v>
      </x:c>
      <x:c r="D4" s="11" t="n">
        <x:v>0.001</x:v>
      </x:c>
      <x:c r="E4" s="10" t="str">
        <x:v>平滑</x:v>
      </x:c>
      <x:c r="F4" s="12" t="n">
        <x:v>0</x:v>
      </x:c>
      <x:c r="G4" s="10" t="str">
        <x:v>Epochs</x:v>
      </x:c>
      <x:c r="H4" s="10" t="n">
        <x:v>4</x:v>
      </x:c>
      <x:c r="I4" s="10"/>
      <x:c r="J4" s="10"/>
      <x:c r="K4" s="10"/>
      <x:c r="L4" s="10" t="str">
        <x:v>历史参数</x:v>
      </x:c>
      <x:c r="M4" s="10"/>
      <x:c r="N4" s="10" t="str">
        <x:v>G5/G6 原配置均为 5.yaml，平滑分别为 0.09/0。</x:v>
      </x:c>
      <x:c r="O4" s="10"/>
      <x:c r="P4" s="10"/>
      <x:c r="Q4" s="10"/>
    </x:row>
    <x:row r="5" ht="35" customHeight="1">
      <x:c r="A5" s="15" t="str">
        <x:v>BF16</x:v>
      </x:c>
      <x:c r="B5" s="10"/>
      <x:c r="C5" s="10"/>
      <x:c r="D5" s="10"/>
      <x:c r="E5" s="10"/>
      <x:c r="F5" s="10"/>
      <x:c r="G5" s="10"/>
      <x:c r="H5" s="10"/>
      <x:c r="I5" s="14" t="str">
        <x:v>差异均属 warmup；warmup_epochs 按该行完成轮次计算。
原日志目标 epochs 与复评来源单列保留。</x:v>
      </x:c>
      <x:c r="J5" s="10"/>
      <x:c r="K5" s="10"/>
      <x:c r="L5" s="10" t="str">
        <x:v>参数核对</x:v>
      </x:c>
      <x:c r="M5" s="10"/>
      <x:c r="N5" s="10" t="str">
        <x:v>9 份缓存元数据；原配置名仅表示历史日志编号。</x:v>
      </x:c>
      <x:c r="O5" s="10"/>
      <x:c r="P5" s="10"/>
      <x:c r="Q5" s="10"/>
    </x:row>
    <x:row r="6" ht="22" customHeight="1">
      <x:c r="A6" s="10" t="str">
        <x:v>基准 Val</x:v>
      </x:c>
      <x:c r="B6" s="13" t="n">
        <x:f>SUMIFS($G$9:$G$35,$A$9:$A$35,"G1",$B$9:$B$35,$H$4)</x:f>
        <x:v>0.928415</x:v>
      </x:c>
      <x:c r="C6" s="10"/>
      <x:c r="D6" s="10" t="str">
        <x:v>独立记录</x:v>
      </x:c>
      <x:c r="E6" s="10" t="n">
        <x:v>27</x:v>
      </x:c>
      <x:c r="F6" s="10"/>
      <x:c r="G6" s="10" t="str">
        <x:v>合并复评</x:v>
      </x:c>
      <x:c r="H6" s="10" t="n">
        <x:v>4</x:v>
      </x:c>
      <x:c r="I6" s="10"/>
      <x:c r="J6" s="10"/>
      <x:c r="K6" s="10"/>
      <x:c r="L6" s="10" t="str">
        <x:v>统计范围</x:v>
      </x:c>
      <x:c r="M6" s="10"/>
      <x:c r="N6" s="10" t="str">
        <x:v>只统计 head warmup；基础 preset 保留历史联合训练设置。</x:v>
      </x:c>
      <x:c r="O6" s="10"/>
      <x:c r="P6" s="10"/>
      <x:c r="Q6" s="10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4" customHeight="1">
      <x:c r="A8" s="20" t="str">
        <x:v>实验组</x:v>
      </x:c>
      <x:c r="B8" s="20" t="str">
        <x:v>Epoch</x:v>
      </x:c>
      <x:c r="C8" s="20" t="str">
        <x:v>Batch size</x:v>
      </x:c>
      <x:c r="D8" s="20" t="str">
        <x:v>学习率</x:v>
      </x:c>
      <x:c r="E8" s="20" t="str">
        <x:v>Label smoothing</x:v>
      </x:c>
      <x:c r="F8" s="20" t="str">
        <x:v>Train loss</x:v>
      </x:c>
      <x:c r="G8" s="20" t="str">
        <x:v>Validation loss</x:v>
      </x:c>
      <x:c r="H8" s="20" t="str">
        <x:v>Val 相对基准差值</x:v>
      </x:c>
      <x:c r="I8" s="20" t="str">
        <x:v>相对基础 config 差异（该 epoch）</x:v>
      </x:c>
      <x:c r="J8" s="20" t="str">
        <x:v>最优标记</x:v>
      </x:c>
      <x:c r="K8" s="20" t="str">
        <x:v>日志目标 epochs</x:v>
      </x:c>
      <x:c r="L8" s="20" t="str">
        <x:v>原配置名</x:v>
      </x:c>
      <x:c r="M8" s="20" t="str">
        <x:v>执行方式</x:v>
      </x:c>
      <x:c r="N8" s="20" t="str">
        <x:v>指标来源</x:v>
      </x:c>
      <x:c r="O8" s="20" t="str">
        <x:v>缓存复评来源</x:v>
      </x:c>
      <x:c r="P8" s="20" t="str">
        <x:v>该 epoch 已保存缓存</x:v>
      </x:c>
      <x:c r="Q8" s="20" t="str">
        <x:v>配置元数据来源</x:v>
      </x:c>
    </x:row>
    <x:row r="9" ht="57" customHeight="1">
      <x:c r="A9" s="16" t="str">
        <x:v>G1</x:v>
      </x:c>
      <x:c r="B9" s="21" t="n">
        <x:v>1</x:v>
      </x:c>
      <x:c r="C9" s="21" t="n">
        <x:v>1024</x:v>
      </x:c>
      <x:c r="D9" s="22" t="n">
        <x:v>0.001</x:v>
      </x:c>
      <x:c r="E9" s="23" t="n">
        <x:v>0</x:v>
      </x:c>
      <x:c r="F9" s="24" t="n">
        <x:v>0.989219</x:v>
      </x:c>
      <x:c r="G9" s="24" t="n">
        <x:v>0.988196</x:v>
      </x:c>
      <x:c r="H9" s="25" t="n">
        <x:f>G9-$B$6</x:f>
        <x:v>0.05978099999999997</x:v>
      </x:c>
      <x:c r="I9" s="26" t="str">
        <x:v>warmup_epochs=1</x:v>
      </x:c>
      <x:c r="J9" s="16" t="str">
        <x:f>IF(G9=MIN($G$9:$G$35),"全局最佳",IF(COUNTIFS($A$9:$A$35,A9,$G$9:$G$35,"&lt;"&amp;G9)=0,"组内最佳",""))</x:f>
      </x:c>
      <x:c r="K9" s="21" t="n">
        <x:v>4</x:v>
      </x:c>
      <x:c r="L9" s="26" t="str">
        <x:v>1.yaml</x:v>
      </x:c>
      <x:c r="M9" s="26" t="str">
        <x:v>从头训练</x:v>
      </x:c>
      <x:c r="N9" s="27" t="str">
        <x:v>validate-20261028-090738-278866.log:19</x:v>
      </x:c>
      <x:c r="O9" s="27" t="str"/>
      <x:c r="P9" s="27" t="str">
        <x:v>未单独保存，仅有 epoch 指标</x:v>
      </x:c>
      <x:c r="Q9" s="27" t="str">
        <x:v>218bd82cd45e81e9b5bea767e97b84b104fdfd5f9b5b2f3118d88ac83fbe7b2e.pt</x:v>
      </x:c>
    </x:row>
    <x:row r="10" ht="57" customHeight="1">
      <x:c r="A10" s="16" t="str">
        <x:v>G1</x:v>
      </x:c>
      <x:c r="B10" s="21" t="n">
        <x:v>2</x:v>
      </x:c>
      <x:c r="C10" s="21" t="n">
        <x:v>1024</x:v>
      </x:c>
      <x:c r="D10" s="22" t="n">
        <x:v>0.001</x:v>
      </x:c>
      <x:c r="E10" s="23" t="n">
        <x:v>0</x:v>
      </x:c>
      <x:c r="F10" s="24" t="n">
        <x:v>0.969961</x:v>
      </x:c>
      <x:c r="G10" s="24" t="n">
        <x:v>0.970411</x:v>
      </x:c>
      <x:c r="H10" s="25" t="n">
        <x:f>G10-$B$6</x:f>
        <x:v>0.04199600000000003</x:v>
      </x:c>
      <x:c r="I10" s="26" t="str">
        <x:v>warmup_epochs=2</x:v>
      </x:c>
      <x:c r="J10" s="16" t="str">
        <x:f>IF(G10=MIN($G$9:$G$35),"全局最佳",IF(COUNTIFS($A$9:$A$35,A10,$G$9:$G$35,"&lt;"&amp;G10)=0,"组内最佳",""))</x:f>
      </x:c>
      <x:c r="K10" s="21" t="n">
        <x:v>4</x:v>
      </x:c>
      <x:c r="L10" s="26" t="str">
        <x:v>1.yaml</x:v>
      </x:c>
      <x:c r="M10" s="26" t="str">
        <x:v>从头训练</x:v>
      </x:c>
      <x:c r="N10" s="27" t="str">
        <x:v>validate-20261028-090738-278866.log:22</x:v>
      </x:c>
      <x:c r="O10" s="27" t="str"/>
      <x:c r="P10" s="27" t="str">
        <x:v>未单独保存，仅有 epoch 指标</x:v>
      </x:c>
      <x:c r="Q10" s="27" t="str">
        <x:v>218bd82cd45e81e9b5bea767e97b84b104fdfd5f9b5b2f3118d88ac83fbe7b2e.pt</x:v>
      </x:c>
    </x:row>
    <x:row r="11" ht="57" customHeight="1">
      <x:c r="A11" s="16" t="str">
        <x:v>G1</x:v>
      </x:c>
      <x:c r="B11" s="21" t="n">
        <x:v>3</x:v>
      </x:c>
      <x:c r="C11" s="21" t="n">
        <x:v>1024</x:v>
      </x:c>
      <x:c r="D11" s="22" t="n">
        <x:v>0.001</x:v>
      </x:c>
      <x:c r="E11" s="23" t="n">
        <x:v>0</x:v>
      </x:c>
      <x:c r="F11" s="24" t="n">
        <x:v>0.958355</x:v>
      </x:c>
      <x:c r="G11" s="24" t="n">
        <x:v>0.960817</x:v>
      </x:c>
      <x:c r="H11" s="25" t="n">
        <x:f>G11-$B$6</x:f>
        <x:v>0.03240200000000004</x:v>
      </x:c>
      <x:c r="I11" s="26" t="str">
        <x:v>warmup_epochs=3</x:v>
      </x:c>
      <x:c r="J11" s="16" t="str">
        <x:f>IF(G11=MIN($G$9:$G$35),"全局最佳",IF(COUNTIFS($A$9:$A$35,A11,$G$9:$G$35,"&lt;"&amp;G11)=0,"组内最佳",""))</x:f>
      </x:c>
      <x:c r="K11" s="21" t="n">
        <x:v>4</x:v>
      </x:c>
      <x:c r="L11" s="26" t="str">
        <x:v>1.yaml</x:v>
      </x:c>
      <x:c r="M11" s="26" t="str">
        <x:v>从头训练</x:v>
      </x:c>
      <x:c r="N11" s="27" t="str">
        <x:v>validate-20261028-090738-278866.log:25</x:v>
      </x:c>
      <x:c r="O11" s="27" t="str"/>
      <x:c r="P11" s="27" t="str">
        <x:v>未单独保存，仅有 epoch 指标</x:v>
      </x:c>
      <x:c r="Q11" s="27" t="str">
        <x:v>218bd82cd45e81e9b5bea767e97b84b104fdfd5f9b5b2f3118d88ac83fbe7b2e.pt</x:v>
      </x:c>
    </x:row>
    <x:row r="12" ht="57" customHeight="1">
      <x:c r="A12" s="16" t="str">
        <x:v>G1</x:v>
      </x:c>
      <x:c r="B12" s="21" t="n">
        <x:v>4</x:v>
      </x:c>
      <x:c r="C12" s="21" t="n">
        <x:v>1024</x:v>
      </x:c>
      <x:c r="D12" s="22" t="n">
        <x:v>0.001</x:v>
      </x:c>
      <x:c r="E12" s="23" t="n">
        <x:v>0</x:v>
      </x:c>
      <x:c r="F12" s="24" t="n">
        <x:v>0.925066</x:v>
      </x:c>
      <x:c r="G12" s="24" t="n">
        <x:v>0.928415</x:v>
      </x:c>
      <x:c r="H12" s="25" t="n">
        <x:f>G12-$B$6</x:f>
        <x:v>0</x:v>
      </x:c>
      <x:c r="I12" s="26" t="str">
        <x:v>无（基础配置）</x:v>
      </x:c>
      <x:c r="J12" s="16" t="str">
        <x:f>IF(G12=MIN($G$9:$G$35),"全局最佳",IF(COUNTIFS($A$9:$A$35,A12,$G$9:$G$35,"&lt;"&amp;G12)=0,"组内最佳",""))</x:f>
        <x:v>全局最佳</x:v>
      </x:c>
      <x:c r="K12" s="21" t="n">
        <x:v>4</x:v>
      </x:c>
      <x:c r="L12" s="26" t="str">
        <x:v>1.yaml</x:v>
      </x:c>
      <x:c r="M12" s="26" t="str">
        <x:v>从头训练</x:v>
      </x:c>
      <x:c r="N12" s="27" t="str">
        <x:v>validate-20261028-090738-278866.log:30</x:v>
      </x:c>
      <x:c r="O12" s="27" t="str">
        <x:v>validate-20261028-092253-162043.log:31</x:v>
      </x:c>
      <x:c r="P12" s="27" t="str">
        <x:v>218bd82cd45e81e9b5bea767e97b84b104fdfd5f9b5b2f3118d88ac83fbe7b2e.pt</x:v>
      </x:c>
      <x:c r="Q12" s="27" t="str">
        <x:v>218bd82cd45e81e9b5bea767e97b84b104fdfd5f9b5b2f3118d88ac83fbe7b2e.pt</x:v>
      </x:c>
    </x:row>
    <x:row r="13" ht="57" customHeight="1">
      <x:c r="A13" s="16" t="str">
        <x:v>G1</x:v>
      </x:c>
      <x:c r="B13" s="21" t="n">
        <x:v>5</x:v>
      </x:c>
      <x:c r="C13" s="21" t="n">
        <x:v>1024</x:v>
      </x:c>
      <x:c r="D13" s="22" t="n">
        <x:v>0.001</x:v>
      </x:c>
      <x:c r="E13" s="23" t="n">
        <x:v>0</x:v>
      </x:c>
      <x:c r="F13" s="24" t="n">
        <x:v>0.92006</x:v>
      </x:c>
      <x:c r="G13" s="24" t="n">
        <x:v>0.929456</x:v>
      </x:c>
      <x:c r="H13" s="25" t="n">
        <x:f>G13-$B$6</x:f>
        <x:v>0.0010409999999999586</x:v>
      </x:c>
      <x:c r="I13" s="26" t="str">
        <x:v>warmup_epochs=5</x:v>
      </x:c>
      <x:c r="J13" s="16" t="str">
        <x:f>IF(G13=MIN($G$9:$G$35),"全局最佳",IF(COUNTIFS($A$9:$A$35,A13,$G$9:$G$35,"&lt;"&amp;G13)=0,"组内最佳",""))</x:f>
      </x:c>
      <x:c r="K13" s="21" t="n">
        <x:v>5</x:v>
      </x:c>
      <x:c r="L13" s="26" t="str">
        <x:v>1.yaml</x:v>
      </x:c>
      <x:c r="M13" s="26" t="str">
        <x:v>续训</x:v>
      </x:c>
      <x:c r="N13" s="27" t="str">
        <x:v>validate-20261028-093606-099919.log:20</x:v>
      </x:c>
      <x:c r="O13" s="27" t="str"/>
      <x:c r="P13" s="27" t="str">
        <x:v>d74e939410a9f2e920e80fd04f8179d5a14166c15cd4077ee97f96ca494fe0c7.pt</x:v>
      </x:c>
      <x:c r="Q13" s="27" t="str">
        <x:v>d74e939410a9f2e920e80fd04f8179d5a14166c15cd4077ee97f96ca494fe0c7.pt</x:v>
      </x:c>
    </x:row>
    <x:row r="14" ht="57" customHeight="1">
      <x:c r="A14" s="28" t="str">
        <x:v>G2</x:v>
      </x:c>
      <x:c r="B14" s="29" t="n">
        <x:v>1</x:v>
      </x:c>
      <x:c r="C14" s="29" t="n">
        <x:v>512</x:v>
      </x:c>
      <x:c r="D14" s="30" t="n">
        <x:v>0.001</x:v>
      </x:c>
      <x:c r="E14" s="31" t="n">
        <x:v>0</x:v>
      </x:c>
      <x:c r="F14" s="32" t="n">
        <x:v>1.023389</x:v>
      </x:c>
      <x:c r="G14" s="32" t="n">
        <x:v>1.021107</x:v>
      </x:c>
      <x:c r="H14" s="33" t="n">
        <x:f>G14-$B$6</x:f>
        <x:v>0.092692</x:v>
      </x:c>
      <x:c r="I14" s="34" t="str">
        <x:v>warmup_training_batch_size=512
warmup_epochs=1</x:v>
      </x:c>
      <x:c r="J14" s="28" t="str">
        <x:f>IF(G14=MIN($G$9:$G$35),"全局最佳",IF(COUNTIFS($A$9:$A$35,A14,$G$9:$G$35,"&lt;"&amp;G14)=0,"组内最佳",""))</x:f>
      </x:c>
      <x:c r="K14" s="29" t="n">
        <x:v>3</x:v>
      </x:c>
      <x:c r="L14" s="34" t="str">
        <x:v>2.yaml</x:v>
      </x:c>
      <x:c r="M14" s="34" t="str">
        <x:v>从头训练</x:v>
      </x:c>
      <x:c r="N14" s="35" t="str">
        <x:v>validate-20261028-090738-278866.log:54</x:v>
      </x:c>
      <x:c r="O14" s="35" t="str"/>
      <x:c r="P14" s="35" t="str">
        <x:v>未单独保存，仅有 epoch 指标</x:v>
      </x:c>
      <x:c r="Q14" s="35" t="str">
        <x:v>f1f261f762fa70b4d27d9a894d4b24b66690710036947818129bc09e1ed211d6.pt</x:v>
      </x:c>
    </x:row>
    <x:row r="15" ht="57" customHeight="1">
      <x:c r="A15" s="16" t="str">
        <x:v>G2</x:v>
      </x:c>
      <x:c r="B15" s="21" t="n">
        <x:v>2</x:v>
      </x:c>
      <x:c r="C15" s="21" t="n">
        <x:v>512</x:v>
      </x:c>
      <x:c r="D15" s="22" t="n">
        <x:v>0.001</x:v>
      </x:c>
      <x:c r="E15" s="23" t="n">
        <x:v>0</x:v>
      </x:c>
      <x:c r="F15" s="24" t="n">
        <x:v>0.951459</x:v>
      </x:c>
      <x:c r="G15" s="24" t="n">
        <x:v>0.953991</x:v>
      </x:c>
      <x:c r="H15" s="25" t="n">
        <x:f>G15-$B$6</x:f>
        <x:v>0.025576000000000043</x:v>
      </x:c>
      <x:c r="I15" s="26" t="str">
        <x:v>warmup_training_batch_size=512
warmup_epochs=2</x:v>
      </x:c>
      <x:c r="J15" s="16" t="str">
        <x:f>IF(G15=MIN($G$9:$G$35),"全局最佳",IF(COUNTIFS($A$9:$A$35,A15,$G$9:$G$35,"&lt;"&amp;G15)=0,"组内最佳",""))</x:f>
      </x:c>
      <x:c r="K15" s="21" t="n">
        <x:v>3</x:v>
      </x:c>
      <x:c r="L15" s="26" t="str">
        <x:v>2.yaml</x:v>
      </x:c>
      <x:c r="M15" s="26" t="str">
        <x:v>从头训练</x:v>
      </x:c>
      <x:c r="N15" s="27" t="str">
        <x:v>validate-20261028-090738-278866.log:59</x:v>
      </x:c>
      <x:c r="O15" s="27" t="str"/>
      <x:c r="P15" s="27" t="str">
        <x:v>未单独保存，仅有 epoch 指标</x:v>
      </x:c>
      <x:c r="Q15" s="27" t="str">
        <x:v>f1f261f762fa70b4d27d9a894d4b24b66690710036947818129bc09e1ed211d6.pt</x:v>
      </x:c>
    </x:row>
    <x:row r="16" ht="57" customHeight="1">
      <x:c r="A16" s="16" t="str">
        <x:v>G2</x:v>
      </x:c>
      <x:c r="B16" s="21" t="n">
        <x:v>3</x:v>
      </x:c>
      <x:c r="C16" s="21" t="n">
        <x:v>512</x:v>
      </x:c>
      <x:c r="D16" s="22" t="n">
        <x:v>0.001</x:v>
      </x:c>
      <x:c r="E16" s="23" t="n">
        <x:v>0</x:v>
      </x:c>
      <x:c r="F16" s="24" t="n">
        <x:v>0.939558</x:v>
      </x:c>
      <x:c r="G16" s="24" t="n">
        <x:v>0.94529</x:v>
      </x:c>
      <x:c r="H16" s="25" t="n">
        <x:f>G16-$B$6</x:f>
        <x:v>0.016874999999999973</x:v>
      </x:c>
      <x:c r="I16" s="26" t="str">
        <x:v>warmup_training_batch_size=512
warmup_epochs=3</x:v>
      </x:c>
      <x:c r="J16" s="16" t="str">
        <x:f>IF(G16=MIN($G$9:$G$35),"全局最佳",IF(COUNTIFS($A$9:$A$35,A16,$G$9:$G$35,"&lt;"&amp;G16)=0,"组内最佳",""))</x:f>
        <x:v>组内最佳</x:v>
      </x:c>
      <x:c r="K16" s="21" t="n">
        <x:v>3</x:v>
      </x:c>
      <x:c r="L16" s="26" t="str">
        <x:v>2.yaml</x:v>
      </x:c>
      <x:c r="M16" s="26" t="str">
        <x:v>从头训练</x:v>
      </x:c>
      <x:c r="N16" s="27" t="str">
        <x:v>validate-20261028-090738-278866.log:64</x:v>
      </x:c>
      <x:c r="O16" s="27" t="str">
        <x:v>validate-20261028-092253-162043.log:60</x:v>
      </x:c>
      <x:c r="P16" s="27" t="str">
        <x:v>f1f261f762fa70b4d27d9a894d4b24b66690710036947818129bc09e1ed211d6.pt</x:v>
      </x:c>
      <x:c r="Q16" s="27" t="str">
        <x:v>f1f261f762fa70b4d27d9a894d4b24b66690710036947818129bc09e1ed211d6.pt</x:v>
      </x:c>
    </x:row>
    <x:row r="17" ht="57" customHeight="1">
      <x:c r="A17" s="16" t="str">
        <x:v>G2</x:v>
      </x:c>
      <x:c r="B17" s="21" t="n">
        <x:v>4</x:v>
      </x:c>
      <x:c r="C17" s="21" t="n">
        <x:v>512</x:v>
      </x:c>
      <x:c r="D17" s="22" t="n">
        <x:v>0.001</x:v>
      </x:c>
      <x:c r="E17" s="23" t="n">
        <x:v>0</x:v>
      </x:c>
      <x:c r="F17" s="24" t="n">
        <x:v>0.937389</x:v>
      </x:c>
      <x:c r="G17" s="24" t="n">
        <x:v>0.946674</x:v>
      </x:c>
      <x:c r="H17" s="25" t="n">
        <x:f>G17-$B$6</x:f>
        <x:v>0.018259000000000025</x:v>
      </x:c>
      <x:c r="I17" s="26" t="str">
        <x:v>warmup_training_batch_size=512</x:v>
      </x:c>
      <x:c r="J17" s="16" t="str">
        <x:f>IF(G17=MIN($G$9:$G$35),"全局最佳",IF(COUNTIFS($A$9:$A$35,A17,$G$9:$G$35,"&lt;"&amp;G17)=0,"组内最佳",""))</x:f>
      </x:c>
      <x:c r="K17" s="21" t="n">
        <x:v>4</x:v>
      </x:c>
      <x:c r="L17" s="26" t="str">
        <x:v>2.yaml</x:v>
      </x:c>
      <x:c r="M17" s="26" t="str">
        <x:v>续训</x:v>
      </x:c>
      <x:c r="N17" s="27" t="str">
        <x:v>validate-20261028-093606-099919.log:45</x:v>
      </x:c>
      <x:c r="O17" s="27" t="str"/>
      <x:c r="P17" s="27" t="str">
        <x:v>6e2df09df2ef1ed5feee2e359a6b6d394510d19b2dca47d31291c6849c63e6d5.pt</x:v>
      </x:c>
      <x:c r="Q17" s="27" t="str">
        <x:v>6e2df09df2ef1ed5feee2e359a6b6d394510d19b2dca47d31291c6849c63e6d5.pt</x:v>
      </x:c>
    </x:row>
    <x:row r="18" ht="57" customHeight="1">
      <x:c r="A18" s="28" t="str">
        <x:v>G3</x:v>
      </x:c>
      <x:c r="B18" s="29" t="n">
        <x:v>1</x:v>
      </x:c>
      <x:c r="C18" s="29" t="n">
        <x:v>2048</x:v>
      </x:c>
      <x:c r="D18" s="30" t="n">
        <x:v>0.001</x:v>
      </x:c>
      <x:c r="E18" s="31" t="n">
        <x:v>0</x:v>
      </x:c>
      <x:c r="F18" s="32" t="n">
        <x:v>1.103131</x:v>
      </x:c>
      <x:c r="G18" s="32" t="n">
        <x:v>1.098597</x:v>
      </x:c>
      <x:c r="H18" s="33" t="n">
        <x:f>G18-$B$6</x:f>
        <x:v>0.17018200000000006</x:v>
      </x:c>
      <x:c r="I18" s="34" t="str">
        <x:v>warmup_training_batch_size=2048
warmup_epochs=1</x:v>
      </x:c>
      <x:c r="J18" s="28" t="str">
        <x:f>IF(G18=MIN($G$9:$G$35),"全局最佳",IF(COUNTIFS($A$9:$A$35,A18,$G$9:$G$35,"&lt;"&amp;G18)=0,"组内最佳",""))</x:f>
      </x:c>
      <x:c r="K18" s="29" t="n">
        <x:v>6</x:v>
      </x:c>
      <x:c r="L18" s="34" t="str">
        <x:v>3.yaml</x:v>
      </x:c>
      <x:c r="M18" s="34" t="str">
        <x:v>从头训练</x:v>
      </x:c>
      <x:c r="N18" s="35" t="str">
        <x:v>validate-20261028-090738-278866.log:86</x:v>
      </x:c>
      <x:c r="O18" s="35" t="str"/>
      <x:c r="P18" s="35" t="str">
        <x:v>未单独保存，仅有 epoch 指标</x:v>
      </x:c>
      <x:c r="Q18" s="35" t="str">
        <x:v>92674ed0a84d107683f65355d891c95e25480614d9a25b054b83a028c4cb17e7.pt</x:v>
      </x:c>
    </x:row>
    <x:row r="19" ht="57" customHeight="1">
      <x:c r="A19" s="16" t="str">
        <x:v>G3</x:v>
      </x:c>
      <x:c r="B19" s="21" t="n">
        <x:v>2</x:v>
      </x:c>
      <x:c r="C19" s="21" t="n">
        <x:v>2048</x:v>
      </x:c>
      <x:c r="D19" s="22" t="n">
        <x:v>0.001</x:v>
      </x:c>
      <x:c r="E19" s="23" t="n">
        <x:v>0</x:v>
      </x:c>
      <x:c r="F19" s="24" t="n">
        <x:v>0.957032</x:v>
      </x:c>
      <x:c r="G19" s="24" t="n">
        <x:v>0.952914</x:v>
      </x:c>
      <x:c r="H19" s="25" t="n">
        <x:f>G19-$B$6</x:f>
        <x:v>0.02449900000000005</x:v>
      </x:c>
      <x:c r="I19" s="26" t="str">
        <x:v>warmup_training_batch_size=2048
warmup_epochs=2</x:v>
      </x:c>
      <x:c r="J19" s="16" t="str">
        <x:f>IF(G19=MIN($G$9:$G$35),"全局最佳",IF(COUNTIFS($A$9:$A$35,A19,$G$9:$G$35,"&lt;"&amp;G19)=0,"组内最佳",""))</x:f>
      </x:c>
      <x:c r="K19" s="21" t="n">
        <x:v>6</x:v>
      </x:c>
      <x:c r="L19" s="26" t="str">
        <x:v>3.yaml</x:v>
      </x:c>
      <x:c r="M19" s="26" t="str">
        <x:v>从头训练</x:v>
      </x:c>
      <x:c r="N19" s="27" t="str">
        <x:v>validate-20261028-090738-278866.log:89</x:v>
      </x:c>
      <x:c r="O19" s="27" t="str"/>
      <x:c r="P19" s="27" t="str">
        <x:v>未单独保存，仅有 epoch 指标</x:v>
      </x:c>
      <x:c r="Q19" s="27" t="str">
        <x:v>92674ed0a84d107683f65355d891c95e25480614d9a25b054b83a028c4cb17e7.pt</x:v>
      </x:c>
    </x:row>
    <x:row r="20" ht="57" customHeight="1">
      <x:c r="A20" s="16" t="str">
        <x:v>G3</x:v>
      </x:c>
      <x:c r="B20" s="21" t="n">
        <x:v>3</x:v>
      </x:c>
      <x:c r="C20" s="21" t="n">
        <x:v>2048</x:v>
      </x:c>
      <x:c r="D20" s="22" t="n">
        <x:v>0.001</x:v>
      </x:c>
      <x:c r="E20" s="23" t="n">
        <x:v>0</x:v>
      </x:c>
      <x:c r="F20" s="24" t="n">
        <x:v>0.940639</x:v>
      </x:c>
      <x:c r="G20" s="24" t="n">
        <x:v>0.939473</x:v>
      </x:c>
      <x:c r="H20" s="25" t="n">
        <x:f>G20-$B$6</x:f>
        <x:v>0.011058000000000012</x:v>
      </x:c>
      <x:c r="I20" s="26" t="str">
        <x:v>warmup_training_batch_size=2048
warmup_epochs=3</x:v>
      </x:c>
      <x:c r="J20" s="16" t="str">
        <x:f>IF(G20=MIN($G$9:$G$35),"全局最佳",IF(COUNTIFS($A$9:$A$35,A20,$G$9:$G$35,"&lt;"&amp;G20)=0,"组内最佳",""))</x:f>
      </x:c>
      <x:c r="K20" s="21" t="n">
        <x:v>6</x:v>
      </x:c>
      <x:c r="L20" s="26" t="str">
        <x:v>3.yaml</x:v>
      </x:c>
      <x:c r="M20" s="26" t="str">
        <x:v>从头训练</x:v>
      </x:c>
      <x:c r="N20" s="27" t="str">
        <x:v>validate-20261028-090738-278866.log:92</x:v>
      </x:c>
      <x:c r="O20" s="27" t="str"/>
      <x:c r="P20" s="27" t="str">
        <x:v>未单独保存，仅有 epoch 指标</x:v>
      </x:c>
      <x:c r="Q20" s="27" t="str">
        <x:v>92674ed0a84d107683f65355d891c95e25480614d9a25b054b83a028c4cb17e7.pt</x:v>
      </x:c>
    </x:row>
    <x:row r="21" ht="57" customHeight="1">
      <x:c r="A21" s="16" t="str">
        <x:v>G3</x:v>
      </x:c>
      <x:c r="B21" s="21" t="n">
        <x:v>4</x:v>
      </x:c>
      <x:c r="C21" s="21" t="n">
        <x:v>2048</x:v>
      </x:c>
      <x:c r="D21" s="22" t="n">
        <x:v>0.001</x:v>
      </x:c>
      <x:c r="E21" s="23" t="n">
        <x:v>0</x:v>
      </x:c>
      <x:c r="F21" s="24" t="n">
        <x:v>0.931932</x:v>
      </x:c>
      <x:c r="G21" s="24" t="n">
        <x:v>0.934703</x:v>
      </x:c>
      <x:c r="H21" s="25" t="n">
        <x:f>G21-$B$6</x:f>
        <x:v>0.00628799999999996</x:v>
      </x:c>
      <x:c r="I21" s="26" t="str">
        <x:v>warmup_training_batch_size=2048</x:v>
      </x:c>
      <x:c r="J21" s="16" t="str">
        <x:f>IF(G21=MIN($G$9:$G$35),"全局最佳",IF(COUNTIFS($A$9:$A$35,A21,$G$9:$G$35,"&lt;"&amp;G21)=0,"组内最佳",""))</x:f>
        <x:v>组内最佳</x:v>
      </x:c>
      <x:c r="K21" s="21" t="n">
        <x:v>6</x:v>
      </x:c>
      <x:c r="L21" s="26" t="str">
        <x:v>3.yaml</x:v>
      </x:c>
      <x:c r="M21" s="26" t="str">
        <x:v>从头训练</x:v>
      </x:c>
      <x:c r="N21" s="27" t="str">
        <x:v>validate-20261028-090738-278866.log:95</x:v>
      </x:c>
      <x:c r="O21" s="27" t="str"/>
      <x:c r="P21" s="27" t="str">
        <x:v>未单独保存，仅有 epoch 指标</x:v>
      </x:c>
      <x:c r="Q21" s="27" t="str">
        <x:v>92674ed0a84d107683f65355d891c95e25480614d9a25b054b83a028c4cb17e7.pt</x:v>
      </x:c>
    </x:row>
    <x:row r="22" ht="57" customHeight="1">
      <x:c r="A22" s="16" t="str">
        <x:v>G3</x:v>
      </x:c>
      <x:c r="B22" s="21" t="n">
        <x:v>5</x:v>
      </x:c>
      <x:c r="C22" s="21" t="n">
        <x:v>2048</x:v>
      </x:c>
      <x:c r="D22" s="22" t="n">
        <x:v>0.001</x:v>
      </x:c>
      <x:c r="E22" s="23" t="n">
        <x:v>0</x:v>
      </x:c>
      <x:c r="F22" s="24" t="n">
        <x:v>0.937408</x:v>
      </x:c>
      <x:c r="G22" s="24" t="n">
        <x:v>0.942364</x:v>
      </x:c>
      <x:c r="H22" s="25" t="n">
        <x:f>G22-$B$6</x:f>
        <x:v>0.01394899999999999</x:v>
      </x:c>
      <x:c r="I22" s="26" t="str">
        <x:v>warmup_training_batch_size=2048
warmup_epochs=5</x:v>
      </x:c>
      <x:c r="J22" s="16" t="str">
        <x:f>IF(G22=MIN($G$9:$G$35),"全局最佳",IF(COUNTIFS($A$9:$A$35,A22,$G$9:$G$35,"&lt;"&amp;G22)=0,"组内最佳",""))</x:f>
      </x:c>
      <x:c r="K22" s="21" t="n">
        <x:v>6</x:v>
      </x:c>
      <x:c r="L22" s="26" t="str">
        <x:v>3.yaml</x:v>
      </x:c>
      <x:c r="M22" s="26" t="str">
        <x:v>从头训练</x:v>
      </x:c>
      <x:c r="N22" s="27" t="str">
        <x:v>validate-20261028-090738-278866.log:98</x:v>
      </x:c>
      <x:c r="O22" s="27" t="str"/>
      <x:c r="P22" s="27" t="str">
        <x:v>未单独保存，仅有 epoch 指标</x:v>
      </x:c>
      <x:c r="Q22" s="27" t="str">
        <x:v>92674ed0a84d107683f65355d891c95e25480614d9a25b054b83a028c4cb17e7.pt</x:v>
      </x:c>
    </x:row>
    <x:row r="23" ht="57" customHeight="1">
      <x:c r="A23" s="16" t="str">
        <x:v>G3</x:v>
      </x:c>
      <x:c r="B23" s="21" t="n">
        <x:v>6</x:v>
      </x:c>
      <x:c r="C23" s="21" t="n">
        <x:v>2048</x:v>
      </x:c>
      <x:c r="D23" s="22" t="n">
        <x:v>0.001</x:v>
      </x:c>
      <x:c r="E23" s="23" t="n">
        <x:v>0</x:v>
      </x:c>
      <x:c r="F23" s="24" t="n">
        <x:v>0.941679</x:v>
      </x:c>
      <x:c r="G23" s="24" t="n">
        <x:v>0.948617</x:v>
      </x:c>
      <x:c r="H23" s="25" t="n">
        <x:f>G23-$B$6</x:f>
        <x:v>0.020202000000000053</x:v>
      </x:c>
      <x:c r="I23" s="26" t="str">
        <x:v>warmup_training_batch_size=2048
warmup_epochs=6</x:v>
      </x:c>
      <x:c r="J23" s="16" t="str">
        <x:f>IF(G23=MIN($G$9:$G$35),"全局最佳",IF(COUNTIFS($A$9:$A$35,A23,$G$9:$G$35,"&lt;"&amp;G23)=0,"组内最佳",""))</x:f>
      </x:c>
      <x:c r="K23" s="21" t="n">
        <x:v>6</x:v>
      </x:c>
      <x:c r="L23" s="26" t="str">
        <x:v>3.yaml</x:v>
      </x:c>
      <x:c r="M23" s="26" t="str">
        <x:v>从头训练</x:v>
      </x:c>
      <x:c r="N23" s="27" t="str">
        <x:v>validate-20261028-090738-278866.log:101</x:v>
      </x:c>
      <x:c r="O23" s="27" t="str">
        <x:v>validate-20261028-092253-162043.log:89</x:v>
      </x:c>
      <x:c r="P23" s="27" t="str">
        <x:v>92674ed0a84d107683f65355d891c95e25480614d9a25b054b83a028c4cb17e7.pt</x:v>
      </x:c>
      <x:c r="Q23" s="27" t="str">
        <x:v>92674ed0a84d107683f65355d891c95e25480614d9a25b054b83a028c4cb17e7.pt</x:v>
      </x:c>
    </x:row>
    <x:row r="24" ht="57" customHeight="1">
      <x:c r="A24" s="28" t="str">
        <x:v>G4</x:v>
      </x:c>
      <x:c r="B24" s="29" t="n">
        <x:v>1</x:v>
      </x:c>
      <x:c r="C24" s="29" t="n">
        <x:v>2048</x:v>
      </x:c>
      <x:c r="D24" s="30" t="n">
        <x:v>0.0015</x:v>
      </x:c>
      <x:c r="E24" s="31" t="n">
        <x:v>0</x:v>
      </x:c>
      <x:c r="F24" s="32" t="n">
        <x:v>1.142868</x:v>
      </x:c>
      <x:c r="G24" s="32" t="n">
        <x:v>1.137421</x:v>
      </x:c>
      <x:c r="H24" s="33" t="n">
        <x:f>G24-$B$6</x:f>
        <x:v>0.20900600000000003</x:v>
      </x:c>
      <x:c r="I24" s="34" t="str">
        <x:v>warmup_training_batch_size=2048
warmup_learning_rate=0.0015
warmup_epochs=1</x:v>
      </x:c>
      <x:c r="J24" s="28" t="str">
        <x:f>IF(G24=MIN($G$9:$G$35),"全局最佳",IF(COUNTIFS($A$9:$A$35,A24,$G$9:$G$35,"&lt;"&amp;G24)=0,"组内最佳",""))</x:f>
      </x:c>
      <x:c r="K24" s="29" t="n">
        <x:v>4</x:v>
      </x:c>
      <x:c r="L24" s="34" t="str">
        <x:v>4.yaml</x:v>
      </x:c>
      <x:c r="M24" s="34" t="str">
        <x:v>从头训练</x:v>
      </x:c>
      <x:c r="N24" s="35" t="str">
        <x:v>validate-20261028-090738-278866.log:124</x:v>
      </x:c>
      <x:c r="O24" s="35" t="str"/>
      <x:c r="P24" s="35" t="str">
        <x:v>未单独保存，仅有 epoch 指标</x:v>
      </x:c>
      <x:c r="Q24" s="35" t="str">
        <x:v>e8dceacf263959e385d0ec736c714369845c4f56907ecd2bbff964ee3326fc54.pt</x:v>
      </x:c>
    </x:row>
    <x:row r="25" ht="57" customHeight="1">
      <x:c r="A25" s="16" t="str">
        <x:v>G4</x:v>
      </x:c>
      <x:c r="B25" s="21" t="n">
        <x:v>2</x:v>
      </x:c>
      <x:c r="C25" s="21" t="n">
        <x:v>2048</x:v>
      </x:c>
      <x:c r="D25" s="22" t="n">
        <x:v>0.0015</x:v>
      </x:c>
      <x:c r="E25" s="23" t="n">
        <x:v>0</x:v>
      </x:c>
      <x:c r="F25" s="24" t="n">
        <x:v>0.98818</x:v>
      </x:c>
      <x:c r="G25" s="24" t="n">
        <x:v>0.9828</x:v>
      </x:c>
      <x:c r="H25" s="25" t="n">
        <x:f>G25-$B$6</x:f>
        <x:v>0.05438500000000002</x:v>
      </x:c>
      <x:c r="I25" s="26" t="str">
        <x:v>warmup_training_batch_size=2048
warmup_learning_rate=0.0015
warmup_epochs=2</x:v>
      </x:c>
      <x:c r="J25" s="16" t="str">
        <x:f>IF(G25=MIN($G$9:$G$35),"全局最佳",IF(COUNTIFS($A$9:$A$35,A25,$G$9:$G$35,"&lt;"&amp;G25)=0,"组内最佳",""))</x:f>
      </x:c>
      <x:c r="K25" s="21" t="n">
        <x:v>4</x:v>
      </x:c>
      <x:c r="L25" s="26" t="str">
        <x:v>4.yaml</x:v>
      </x:c>
      <x:c r="M25" s="26" t="str">
        <x:v>从头训练</x:v>
      </x:c>
      <x:c r="N25" s="27" t="str">
        <x:v>validate-20261028-090738-278866.log:127</x:v>
      </x:c>
      <x:c r="O25" s="27" t="str"/>
      <x:c r="P25" s="27" t="str">
        <x:v>未单独保存，仅有 epoch 指标</x:v>
      </x:c>
      <x:c r="Q25" s="27" t="str">
        <x:v>e8dceacf263959e385d0ec736c714369845c4f56907ecd2bbff964ee3326fc54.pt</x:v>
      </x:c>
    </x:row>
    <x:row r="26" ht="57" customHeight="1">
      <x:c r="A26" s="16" t="str">
        <x:v>G4</x:v>
      </x:c>
      <x:c r="B26" s="21" t="n">
        <x:v>3</x:v>
      </x:c>
      <x:c r="C26" s="21" t="n">
        <x:v>2048</x:v>
      </x:c>
      <x:c r="D26" s="22" t="n">
        <x:v>0.0015</x:v>
      </x:c>
      <x:c r="E26" s="23" t="n">
        <x:v>0</x:v>
      </x:c>
      <x:c r="F26" s="24" t="n">
        <x:v>1.013626</x:v>
      </x:c>
      <x:c r="G26" s="24" t="n">
        <x:v>1.005293</x:v>
      </x:c>
      <x:c r="H26" s="25" t="n">
        <x:f>G26-$B$6</x:f>
        <x:v>0.076878</x:v>
      </x:c>
      <x:c r="I26" s="26" t="str">
        <x:v>warmup_training_batch_size=2048
warmup_learning_rate=0.0015
warmup_epochs=3</x:v>
      </x:c>
      <x:c r="J26" s="16" t="str">
        <x:f>IF(G26=MIN($G$9:$G$35),"全局最佳",IF(COUNTIFS($A$9:$A$35,A26,$G$9:$G$35,"&lt;"&amp;G26)=0,"组内最佳",""))</x:f>
      </x:c>
      <x:c r="K26" s="21" t="n">
        <x:v>4</x:v>
      </x:c>
      <x:c r="L26" s="26" t="str">
        <x:v>4.yaml</x:v>
      </x:c>
      <x:c r="M26" s="26" t="str">
        <x:v>从头训练</x:v>
      </x:c>
      <x:c r="N26" s="27" t="str">
        <x:v>validate-20261028-090738-278866.log:130</x:v>
      </x:c>
      <x:c r="O26" s="27" t="str"/>
      <x:c r="P26" s="27" t="str">
        <x:v>未单独保存，仅有 epoch 指标</x:v>
      </x:c>
      <x:c r="Q26" s="27" t="str">
        <x:v>e8dceacf263959e385d0ec736c714369845c4f56907ecd2bbff964ee3326fc54.pt</x:v>
      </x:c>
    </x:row>
    <x:row r="27" ht="57" customHeight="1">
      <x:c r="A27" s="16" t="str">
        <x:v>G4</x:v>
      </x:c>
      <x:c r="B27" s="21" t="n">
        <x:v>4</x:v>
      </x:c>
      <x:c r="C27" s="21" t="n">
        <x:v>2048</x:v>
      </x:c>
      <x:c r="D27" s="22" t="n">
        <x:v>0.0015</x:v>
      </x:c>
      <x:c r="E27" s="23" t="n">
        <x:v>0</x:v>
      </x:c>
      <x:c r="F27" s="24" t="n">
        <x:v>0.957594</x:v>
      </x:c>
      <x:c r="G27" s="24" t="n">
        <x:v>0.954938</x:v>
      </x:c>
      <x:c r="H27" s="25" t="n">
        <x:f>G27-$B$6</x:f>
        <x:v>0.026522999999999963</x:v>
      </x:c>
      <x:c r="I27" s="26" t="str">
        <x:v>warmup_training_batch_size=2048
warmup_learning_rate=0.0015</x:v>
      </x:c>
      <x:c r="J27" s="16" t="str">
        <x:f>IF(G27=MIN($G$9:$G$35),"全局最佳",IF(COUNTIFS($A$9:$A$35,A27,$G$9:$G$35,"&lt;"&amp;G27)=0,"组内最佳",""))</x:f>
        <x:v>组内最佳</x:v>
      </x:c>
      <x:c r="K27" s="21" t="n">
        <x:v>4</x:v>
      </x:c>
      <x:c r="L27" s="26" t="str">
        <x:v>4.yaml</x:v>
      </x:c>
      <x:c r="M27" s="26" t="str">
        <x:v>从头训练</x:v>
      </x:c>
      <x:c r="N27" s="27" t="str">
        <x:v>validate-20261028-090738-278866.log:135</x:v>
      </x:c>
      <x:c r="O27" s="27" t="str">
        <x:v>validate-20261028-092253-162043.log:118</x:v>
      </x:c>
      <x:c r="P27" s="27" t="str">
        <x:v>e8dceacf263959e385d0ec736c714369845c4f56907ecd2bbff964ee3326fc54.pt</x:v>
      </x:c>
      <x:c r="Q27" s="27" t="str">
        <x:v>e8dceacf263959e385d0ec736c714369845c4f56907ecd2bbff964ee3326fc54.pt</x:v>
      </x:c>
    </x:row>
    <x:row r="28" ht="57" customHeight="1">
      <x:c r="A28" s="16" t="str">
        <x:v>G4</x:v>
      </x:c>
      <x:c r="B28" s="21" t="n">
        <x:v>5</x:v>
      </x:c>
      <x:c r="C28" s="21" t="n">
        <x:v>2048</x:v>
      </x:c>
      <x:c r="D28" s="22" t="n">
        <x:v>0.0015</x:v>
      </x:c>
      <x:c r="E28" s="23" t="n">
        <x:v>0</x:v>
      </x:c>
      <x:c r="F28" s="24" t="n">
        <x:v>0.989727</x:v>
      </x:c>
      <x:c r="G28" s="24" t="n">
        <x:v>0.988952</x:v>
      </x:c>
      <x:c r="H28" s="25" t="n">
        <x:f>G28-$B$6</x:f>
        <x:v>0.06053700000000006</x:v>
      </x:c>
      <x:c r="I28" s="26" t="str">
        <x:v>warmup_training_batch_size=2048
warmup_learning_rate=0.0015
warmup_epochs=5</x:v>
      </x:c>
      <x:c r="J28" s="16" t="str">
        <x:f>IF(G28=MIN($G$9:$G$35),"全局最佳",IF(COUNTIFS($A$9:$A$35,A28,$G$9:$G$35,"&lt;"&amp;G28)=0,"组内最佳",""))</x:f>
      </x:c>
      <x:c r="K28" s="21" t="n">
        <x:v>5</x:v>
      </x:c>
      <x:c r="L28" s="26" t="str">
        <x:v>4.yaml</x:v>
      </x:c>
      <x:c r="M28" s="26" t="str">
        <x:v>续训</x:v>
      </x:c>
      <x:c r="N28" s="27" t="str">
        <x:v>validate-20261028-093606-099919.log:69</x:v>
      </x:c>
      <x:c r="O28" s="27" t="str"/>
      <x:c r="P28" s="27" t="str">
        <x:v>ee19cf58693baaee19e37e311c47eecb530b0ac28f1b981cdd69e2fe08e8422a.pt</x:v>
      </x:c>
      <x:c r="Q28" s="27" t="str">
        <x:v>ee19cf58693baaee19e37e311c47eecb530b0ac28f1b981cdd69e2fe08e8422a.pt</x:v>
      </x:c>
    </x:row>
    <x:row r="29" ht="57" customHeight="1">
      <x:c r="A29" s="28" t="str">
        <x:v>G5</x:v>
      </x:c>
      <x:c r="B29" s="29" t="n">
        <x:v>1</x:v>
      </x:c>
      <x:c r="C29" s="29" t="n">
        <x:v>1024</x:v>
      </x:c>
      <x:c r="D29" s="30" t="n">
        <x:v>0.0015</x:v>
      </x:c>
      <x:c r="E29" s="31" t="n">
        <x:v>0.09</x:v>
      </x:c>
      <x:c r="F29" s="32" t="n">
        <x:v>1.186089</x:v>
      </x:c>
      <x:c r="G29" s="32" t="n">
        <x:v>1.155418</x:v>
      </x:c>
      <x:c r="H29" s="33" t="n">
        <x:f>G29-$B$6</x:f>
        <x:v>0.22700300000000007</x:v>
      </x:c>
      <x:c r="I29" s="34" t="str">
        <x:v>warmup_learning_rate=0.0015
label_smoothing=0.09
warmup_epochs=1</x:v>
      </x:c>
      <x:c r="J29" s="28" t="str">
        <x:f>IF(G29=MIN($G$9:$G$35),"全局最佳",IF(COUNTIFS($A$9:$A$35,A29,$G$9:$G$35,"&lt;"&amp;G29)=0,"组内最佳",""))</x:f>
      </x:c>
      <x:c r="K29" s="29" t="n">
        <x:v>3</x:v>
      </x:c>
      <x:c r="L29" s="34" t="str">
        <x:v>5.yaml</x:v>
      </x:c>
      <x:c r="M29" s="34" t="str">
        <x:v>从头训练</x:v>
      </x:c>
      <x:c r="N29" s="35" t="str">
        <x:v>validate-20261028-093606-099919.log:86</x:v>
      </x:c>
      <x:c r="O29" s="35" t="str"/>
      <x:c r="P29" s="35" t="str">
        <x:v>未单独保存，仅有 epoch 指标</x:v>
      </x:c>
      <x:c r="Q29" s="35" t="str">
        <x:v>47f85b67804526299be44b4b5686f36744461fea3774dd98e6411cafcd920304.pt</x:v>
      </x:c>
    </x:row>
    <x:row r="30" ht="57" customHeight="1">
      <x:c r="A30" s="16" t="str">
        <x:v>G5</x:v>
      </x:c>
      <x:c r="B30" s="21" t="n">
        <x:v>2</x:v>
      </x:c>
      <x:c r="C30" s="21" t="n">
        <x:v>1024</x:v>
      </x:c>
      <x:c r="D30" s="22" t="n">
        <x:v>0.0015</x:v>
      </x:c>
      <x:c r="E30" s="23" t="n">
        <x:v>0.09</x:v>
      </x:c>
      <x:c r="F30" s="24" t="n">
        <x:v>1.057083</x:v>
      </x:c>
      <x:c r="G30" s="24" t="n">
        <x:v>1.025893</x:v>
      </x:c>
      <x:c r="H30" s="25" t="n">
        <x:f>G30-$B$6</x:f>
        <x:v>0.09747799999999995</x:v>
      </x:c>
      <x:c r="I30" s="26" t="str">
        <x:v>warmup_learning_rate=0.0015
label_smoothing=0.09
warmup_epochs=2</x:v>
      </x:c>
      <x:c r="J30" s="16" t="str">
        <x:f>IF(G30=MIN($G$9:$G$35),"全局最佳",IF(COUNTIFS($A$9:$A$35,A30,$G$9:$G$35,"&lt;"&amp;G30)=0,"组内最佳",""))</x:f>
      </x:c>
      <x:c r="K30" s="21" t="n">
        <x:v>3</x:v>
      </x:c>
      <x:c r="L30" s="26" t="str">
        <x:v>5.yaml</x:v>
      </x:c>
      <x:c r="M30" s="26" t="str">
        <x:v>从头训练</x:v>
      </x:c>
      <x:c r="N30" s="27" t="str">
        <x:v>validate-20261028-093606-099919.log:91</x:v>
      </x:c>
      <x:c r="O30" s="27" t="str"/>
      <x:c r="P30" s="27" t="str">
        <x:v>未单独保存，仅有 epoch 指标</x:v>
      </x:c>
      <x:c r="Q30" s="27" t="str">
        <x:v>47f85b67804526299be44b4b5686f36744461fea3774dd98e6411cafcd920304.pt</x:v>
      </x:c>
    </x:row>
    <x:row r="31" ht="57" customHeight="1">
      <x:c r="A31" s="16" t="str">
        <x:v>G5</x:v>
      </x:c>
      <x:c r="B31" s="21" t="n">
        <x:v>3</x:v>
      </x:c>
      <x:c r="C31" s="21" t="n">
        <x:v>1024</x:v>
      </x:c>
      <x:c r="D31" s="22" t="n">
        <x:v>0.0015</x:v>
      </x:c>
      <x:c r="E31" s="23" t="n">
        <x:v>0.09</x:v>
      </x:c>
      <x:c r="F31" s="24" t="n">
        <x:v>0.992601</x:v>
      </x:c>
      <x:c r="G31" s="24" t="n">
        <x:v>0.965454</x:v>
      </x:c>
      <x:c r="H31" s="25" t="n">
        <x:f>G31-$B$6</x:f>
        <x:v>0.037039000000000044</x:v>
      </x:c>
      <x:c r="I31" s="26" t="str">
        <x:v>warmup_learning_rate=0.0015
label_smoothing=0.09
warmup_epochs=3</x:v>
      </x:c>
      <x:c r="J31" s="16" t="str">
        <x:f>IF(G31=MIN($G$9:$G$35),"全局最佳",IF(COUNTIFS($A$9:$A$35,A31,$G$9:$G$35,"&lt;"&amp;G31)=0,"组内最佳",""))</x:f>
        <x:v>组内最佳</x:v>
      </x:c>
      <x:c r="K31" s="21" t="n">
        <x:v>3</x:v>
      </x:c>
      <x:c r="L31" s="26" t="str">
        <x:v>5.yaml</x:v>
      </x:c>
      <x:c r="M31" s="26" t="str">
        <x:v>从头训练</x:v>
      </x:c>
      <x:c r="N31" s="27" t="str">
        <x:v>validate-20261028-093606-099919.log:96</x:v>
      </x:c>
      <x:c r="O31" s="27" t="str"/>
      <x:c r="P31" s="27" t="str">
        <x:v>47f85b67804526299be44b4b5686f36744461fea3774dd98e6411cafcd920304.pt</x:v>
      </x:c>
      <x:c r="Q31" s="27" t="str">
        <x:v>47f85b67804526299be44b4b5686f36744461fea3774dd98e6411cafcd920304.pt</x:v>
      </x:c>
    </x:row>
    <x:row r="32" ht="57" customHeight="1">
      <x:c r="A32" s="28" t="str">
        <x:v>G6</x:v>
      </x:c>
      <x:c r="B32" s="29" t="n">
        <x:v>1</x:v>
      </x:c>
      <x:c r="C32" s="29" t="n">
        <x:v>1024</x:v>
      </x:c>
      <x:c r="D32" s="30" t="n">
        <x:v>0.0015</x:v>
      </x:c>
      <x:c r="E32" s="31" t="n">
        <x:v>0</x:v>
      </x:c>
      <x:c r="F32" s="32" t="n">
        <x:v>1.518433</x:v>
      </x:c>
      <x:c r="G32" s="32" t="n">
        <x:v>1.520014</x:v>
      </x:c>
      <x:c r="H32" s="33" t="n">
        <x:f>G32-$B$6</x:f>
        <x:v>0.591599</x:v>
      </x:c>
      <x:c r="I32" s="34" t="str">
        <x:v>warmup_learning_rate=0.0015
warmup_epochs=1</x:v>
      </x:c>
      <x:c r="J32" s="28" t="str">
        <x:f>IF(G32=MIN($G$9:$G$35),"全局最佳",IF(COUNTIFS($A$9:$A$35,A32,$G$9:$G$35,"&lt;"&amp;G32)=0,"组内最佳",""))</x:f>
      </x:c>
      <x:c r="K32" s="29" t="n">
        <x:v>4</x:v>
      </x:c>
      <x:c r="L32" s="34" t="str">
        <x:v>5.yaml</x:v>
      </x:c>
      <x:c r="M32" s="34" t="str">
        <x:v>从头训练</x:v>
      </x:c>
      <x:c r="N32" s="35" t="str">
        <x:v>validate-20261028-095310-510293.log:12</x:v>
      </x:c>
      <x:c r="O32" s="35" t="str"/>
      <x:c r="P32" s="35" t="str">
        <x:v>未单独保存，仅有 epoch 指标</x:v>
      </x:c>
      <x:c r="Q32" s="35" t="str">
        <x:v>95f6c0b3f17b283cba41962d54e40eba7eef4774a1ae96b2a24f4b0809b61052.pt</x:v>
      </x:c>
    </x:row>
    <x:row r="33" ht="57" customHeight="1">
      <x:c r="A33" s="16" t="str">
        <x:v>G6</x:v>
      </x:c>
      <x:c r="B33" s="21" t="n">
        <x:v>2</x:v>
      </x:c>
      <x:c r="C33" s="21" t="n">
        <x:v>1024</x:v>
      </x:c>
      <x:c r="D33" s="22" t="n">
        <x:v>0.0015</x:v>
      </x:c>
      <x:c r="E33" s="23" t="n">
        <x:v>0</x:v>
      </x:c>
      <x:c r="F33" s="24" t="n">
        <x:v>0.954982</x:v>
      </x:c>
      <x:c r="G33" s="24" t="n">
        <x:v>0.952586</x:v>
      </x:c>
      <x:c r="H33" s="25" t="n">
        <x:f>G33-$B$6</x:f>
        <x:v>0.024171000000000054</x:v>
      </x:c>
      <x:c r="I33" s="26" t="str">
        <x:v>warmup_learning_rate=0.0015
warmup_epochs=2</x:v>
      </x:c>
      <x:c r="J33" s="16" t="str">
        <x:f>IF(G33=MIN($G$9:$G$35),"全局最佳",IF(COUNTIFS($A$9:$A$35,A33,$G$9:$G$35,"&lt;"&amp;G33)=0,"组内最佳",""))</x:f>
        <x:v>组内最佳</x:v>
      </x:c>
      <x:c r="K33" s="21" t="n">
        <x:v>4</x:v>
      </x:c>
      <x:c r="L33" s="26" t="str">
        <x:v>5.yaml</x:v>
      </x:c>
      <x:c r="M33" s="26" t="str">
        <x:v>从头训练</x:v>
      </x:c>
      <x:c r="N33" s="27" t="str">
        <x:v>validate-20261028-095310-510293.log:15</x:v>
      </x:c>
      <x:c r="O33" s="27" t="str"/>
      <x:c r="P33" s="27" t="str">
        <x:v>未单独保存，仅有 epoch 指标</x:v>
      </x:c>
      <x:c r="Q33" s="27" t="str">
        <x:v>95f6c0b3f17b283cba41962d54e40eba7eef4774a1ae96b2a24f4b0809b61052.pt</x:v>
      </x:c>
    </x:row>
    <x:row r="34" ht="57" customHeight="1">
      <x:c r="A34" s="16" t="str">
        <x:v>G6</x:v>
      </x:c>
      <x:c r="B34" s="21" t="n">
        <x:v>3</x:v>
      </x:c>
      <x:c r="C34" s="21" t="n">
        <x:v>1024</x:v>
      </x:c>
      <x:c r="D34" s="22" t="n">
        <x:v>0.0015</x:v>
      </x:c>
      <x:c r="E34" s="23" t="n">
        <x:v>0</x:v>
      </x:c>
      <x:c r="F34" s="24" t="n">
        <x:v>1.113649</x:v>
      </x:c>
      <x:c r="G34" s="24" t="n">
        <x:v>1.115288</x:v>
      </x:c>
      <x:c r="H34" s="25" t="n">
        <x:f>G34-$B$6</x:f>
        <x:v>0.18687300000000007</x:v>
      </x:c>
      <x:c r="I34" s="26" t="str">
        <x:v>warmup_learning_rate=0.0015
warmup_epochs=3</x:v>
      </x:c>
      <x:c r="J34" s="16" t="str">
        <x:f>IF(G34=MIN($G$9:$G$35),"全局最佳",IF(COUNTIFS($A$9:$A$35,A34,$G$9:$G$35,"&lt;"&amp;G34)=0,"组内最佳",""))</x:f>
      </x:c>
      <x:c r="K34" s="21" t="n">
        <x:v>4</x:v>
      </x:c>
      <x:c r="L34" s="26" t="str">
        <x:v>5.yaml</x:v>
      </x:c>
      <x:c r="M34" s="26" t="str">
        <x:v>从头训练</x:v>
      </x:c>
      <x:c r="N34" s="27" t="str">
        <x:v>validate-20261028-095310-510293.log:18</x:v>
      </x:c>
      <x:c r="O34" s="27" t="str"/>
      <x:c r="P34" s="27" t="str">
        <x:v>未单独保存，仅有 epoch 指标</x:v>
      </x:c>
      <x:c r="Q34" s="27" t="str">
        <x:v>95f6c0b3f17b283cba41962d54e40eba7eef4774a1ae96b2a24f4b0809b61052.pt</x:v>
      </x:c>
    </x:row>
    <x:row r="35" ht="57" customHeight="1">
      <x:c r="A35" s="16" t="str">
        <x:v>G6</x:v>
      </x:c>
      <x:c r="B35" s="21" t="n">
        <x:v>4</x:v>
      </x:c>
      <x:c r="C35" s="21" t="n">
        <x:v>1024</x:v>
      </x:c>
      <x:c r="D35" s="22" t="n">
        <x:v>0.0015</x:v>
      </x:c>
      <x:c r="E35" s="23" t="n">
        <x:v>0</x:v>
      </x:c>
      <x:c r="F35" s="24" t="n">
        <x:v>0.957789</x:v>
      </x:c>
      <x:c r="G35" s="24" t="n">
        <x:v>0.958181</x:v>
      </x:c>
      <x:c r="H35" s="25" t="n">
        <x:f>G35-$B$6</x:f>
        <x:v>0.02976599999999996</x:v>
      </x:c>
      <x:c r="I35" s="26" t="str">
        <x:v>warmup_learning_rate=0.0015</x:v>
      </x:c>
      <x:c r="J35" s="16" t="str">
        <x:f>IF(G35=MIN($G$9:$G$35),"全局最佳",IF(COUNTIFS($A$9:$A$35,A35,$G$9:$G$35,"&lt;"&amp;G35)=0,"组内最佳",""))</x:f>
      </x:c>
      <x:c r="K35" s="21" t="n">
        <x:v>4</x:v>
      </x:c>
      <x:c r="L35" s="26" t="str">
        <x:v>5.yaml</x:v>
      </x:c>
      <x:c r="M35" s="26" t="str">
        <x:v>从头训练</x:v>
      </x:c>
      <x:c r="N35" s="27" t="str">
        <x:v>validate-20261028-095310-510293.log:23</x:v>
      </x:c>
      <x:c r="O35" s="27" t="str"/>
      <x:c r="P35" s="27" t="str">
        <x:v>95f6c0b3f17b283cba41962d54e40eba7eef4774a1ae96b2a24f4b0809b61052.pt</x:v>
      </x:c>
      <x:c r="Q35" s="27" t="str">
        <x:v>95f6c0b3f17b283cba41962d54e40eba7eef4774a1ae96b2a24f4b0809b61052.pt</x:v>
      </x:c>
    </x:row>
  </x:sheetData>
  <x:conditionalFormatting sqref="A9:Q35">
    <x:cfRule type="expression" dxfId="0" priority="1">
      <x:formula>$J9="全局最佳"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7268b8cf9443a2"/>
  </x:tableParts>
</x:worksheet>
</file>